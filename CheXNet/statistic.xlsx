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CHU\碩1\醫學影像\final_project\CheXNet\"/>
    </mc:Choice>
  </mc:AlternateContent>
  <xr:revisionPtr revIDLastSave="0" documentId="13_ncr:1_{3296A117-D8FE-47FF-A973-4A75C9304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7" i="1" l="1"/>
  <c r="AA18" i="1"/>
  <c r="AA19" i="1"/>
  <c r="AA20" i="1"/>
  <c r="AA21" i="1"/>
</calcChain>
</file>

<file path=xl/sharedStrings.xml><?xml version="1.0" encoding="utf-8"?>
<sst xmlns="http://schemas.openxmlformats.org/spreadsheetml/2006/main" count="99" uniqueCount="33">
  <si>
    <t>500-epoch</t>
    <phoneticPr fontId="1" type="noConversion"/>
  </si>
  <si>
    <t>500-train loss</t>
    <phoneticPr fontId="1" type="noConversion"/>
  </si>
  <si>
    <t>500-val loss</t>
    <phoneticPr fontId="1" type="noConversion"/>
  </si>
  <si>
    <t>Mean AUROC</t>
    <phoneticPr fontId="1" type="noConversion"/>
  </si>
  <si>
    <t>Pneumonia</t>
    <phoneticPr fontId="1" type="noConversion"/>
  </si>
  <si>
    <t>Infiltration</t>
    <phoneticPr fontId="1" type="noConversion"/>
  </si>
  <si>
    <t>1000-epoch</t>
    <phoneticPr fontId="1" type="noConversion"/>
  </si>
  <si>
    <t>1000-train loss</t>
    <phoneticPr fontId="1" type="noConversion"/>
  </si>
  <si>
    <t>1000-val loss</t>
    <phoneticPr fontId="1" type="noConversion"/>
  </si>
  <si>
    <t>無樣本</t>
  </si>
  <si>
    <t>Atelectasis</t>
    <phoneticPr fontId="1" type="noConversion"/>
  </si>
  <si>
    <t>Cardiomegaly</t>
    <phoneticPr fontId="1" type="noConversion"/>
  </si>
  <si>
    <t>Consolidation</t>
    <phoneticPr fontId="1" type="noConversion"/>
  </si>
  <si>
    <t>Edema</t>
    <phoneticPr fontId="1" type="noConversion"/>
  </si>
  <si>
    <t>Effusion</t>
    <phoneticPr fontId="1" type="noConversion"/>
  </si>
  <si>
    <t>Emphysema</t>
    <phoneticPr fontId="1" type="noConversion"/>
  </si>
  <si>
    <t>Fibrosis</t>
    <phoneticPr fontId="1" type="noConversion"/>
  </si>
  <si>
    <t>Hernia</t>
    <phoneticPr fontId="1" type="noConversion"/>
  </si>
  <si>
    <t>Mass</t>
    <phoneticPr fontId="1" type="noConversion"/>
  </si>
  <si>
    <t>No Finding</t>
    <phoneticPr fontId="1" type="noConversion"/>
  </si>
  <si>
    <t>Nodule</t>
    <phoneticPr fontId="1" type="noConversion"/>
  </si>
  <si>
    <t>Pleural_Thickening</t>
    <phoneticPr fontId="1" type="noConversion"/>
  </si>
  <si>
    <t>Pneumothorax</t>
    <phoneticPr fontId="1" type="noConversion"/>
  </si>
  <si>
    <t>無樣本</t>
    <phoneticPr fontId="1" type="noConversion"/>
  </si>
  <si>
    <t>2000-epoch</t>
    <phoneticPr fontId="1" type="noConversion"/>
  </si>
  <si>
    <t>2000-train loss</t>
    <phoneticPr fontId="1" type="noConversion"/>
  </si>
  <si>
    <t>2000-val loss</t>
    <phoneticPr fontId="1" type="noConversion"/>
  </si>
  <si>
    <t>5000-epoch</t>
    <phoneticPr fontId="1" type="noConversion"/>
  </si>
  <si>
    <t>5000-train loss</t>
    <phoneticPr fontId="1" type="noConversion"/>
  </si>
  <si>
    <t>5000-val loss</t>
    <phoneticPr fontId="1" type="noConversion"/>
  </si>
  <si>
    <t>10000-epoch</t>
    <phoneticPr fontId="1" type="noConversion"/>
  </si>
  <si>
    <t>10000-train loss</t>
    <phoneticPr fontId="1" type="noConversion"/>
  </si>
  <si>
    <t>10000-val loss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</si>
</sst>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500-train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工作表1!$B$2:$B$21</c:f>
              <c:numCache>
                <c:formatCode>General</c:formatCode>
                <c:ptCount val="20"/>
                <c:pt idx="0">
                  <c:v>0.155</c:v>
                </c:pt>
                <c:pt idx="1">
                  <c:v>9.2600000000000002E-2</c:v>
                </c:pt>
                <c:pt idx="2">
                  <c:v>6.2899999999999998E-2</c:v>
                </c:pt>
                <c:pt idx="3">
                  <c:v>5.0999999999999997E-2</c:v>
                </c:pt>
                <c:pt idx="4">
                  <c:v>4.1200000000000001E-2</c:v>
                </c:pt>
                <c:pt idx="5">
                  <c:v>3.1899999999999998E-2</c:v>
                </c:pt>
                <c:pt idx="6">
                  <c:v>2.7199999999999998E-2</c:v>
                </c:pt>
                <c:pt idx="7">
                  <c:v>2.3599999999999999E-2</c:v>
                </c:pt>
                <c:pt idx="8">
                  <c:v>1.9199999999999998E-2</c:v>
                </c:pt>
                <c:pt idx="9">
                  <c:v>1.7000000000000001E-2</c:v>
                </c:pt>
                <c:pt idx="10">
                  <c:v>1.4800000000000001E-2</c:v>
                </c:pt>
                <c:pt idx="11">
                  <c:v>1.3299999999999999E-2</c:v>
                </c:pt>
                <c:pt idx="12">
                  <c:v>1.03E-2</c:v>
                </c:pt>
                <c:pt idx="13">
                  <c:v>9.7999999999999997E-3</c:v>
                </c:pt>
                <c:pt idx="14">
                  <c:v>8.9999999999999993E-3</c:v>
                </c:pt>
                <c:pt idx="15">
                  <c:v>7.3000000000000001E-3</c:v>
                </c:pt>
                <c:pt idx="16">
                  <c:v>6.8999999999999999E-3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8-4B7D-9D77-FCC501F284A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500-val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工作表1!$C$2:$C$21</c:f>
              <c:numCache>
                <c:formatCode>General</c:formatCode>
                <c:ptCount val="20"/>
                <c:pt idx="0">
                  <c:v>0.1336</c:v>
                </c:pt>
                <c:pt idx="1">
                  <c:v>8.0699999999999994E-2</c:v>
                </c:pt>
                <c:pt idx="2">
                  <c:v>6.6600000000000006E-2</c:v>
                </c:pt>
                <c:pt idx="3">
                  <c:v>6.0600000000000001E-2</c:v>
                </c:pt>
                <c:pt idx="4">
                  <c:v>5.8400000000000001E-2</c:v>
                </c:pt>
                <c:pt idx="5">
                  <c:v>5.5599999999999997E-2</c:v>
                </c:pt>
                <c:pt idx="6">
                  <c:v>5.3600000000000002E-2</c:v>
                </c:pt>
                <c:pt idx="7">
                  <c:v>5.3199999999999997E-2</c:v>
                </c:pt>
                <c:pt idx="8">
                  <c:v>5.5E-2</c:v>
                </c:pt>
                <c:pt idx="9">
                  <c:v>5.2400000000000002E-2</c:v>
                </c:pt>
                <c:pt idx="10">
                  <c:v>5.33E-2</c:v>
                </c:pt>
                <c:pt idx="11">
                  <c:v>5.1499999999999997E-2</c:v>
                </c:pt>
                <c:pt idx="12">
                  <c:v>5.45E-2</c:v>
                </c:pt>
                <c:pt idx="13">
                  <c:v>5.3900000000000003E-2</c:v>
                </c:pt>
                <c:pt idx="14">
                  <c:v>5.45E-2</c:v>
                </c:pt>
                <c:pt idx="15">
                  <c:v>5.6800000000000003E-2</c:v>
                </c:pt>
                <c:pt idx="16">
                  <c:v>5.7700000000000001E-2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8-4B7D-9D77-FCC501F2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工作表1!$I$1</c:f>
              <c:strCache>
                <c:ptCount val="1"/>
                <c:pt idx="0">
                  <c:v>1000-train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工作表1!$I$2:$I$12</c:f>
              <c:numCache>
                <c:formatCode>General</c:formatCode>
                <c:ptCount val="11"/>
                <c:pt idx="0">
                  <c:v>0.11550000000000001</c:v>
                </c:pt>
                <c:pt idx="1">
                  <c:v>6.7000000000000004E-2</c:v>
                </c:pt>
                <c:pt idx="2">
                  <c:v>5.0799999999999998E-2</c:v>
                </c:pt>
                <c:pt idx="3">
                  <c:v>4.1500000000000002E-2</c:v>
                </c:pt>
                <c:pt idx="4">
                  <c:v>3.2199999999999999E-2</c:v>
                </c:pt>
                <c:pt idx="5">
                  <c:v>2.5399999999999999E-2</c:v>
                </c:pt>
                <c:pt idx="6">
                  <c:v>2.1899999999999999E-2</c:v>
                </c:pt>
                <c:pt idx="7">
                  <c:v>1.77E-2</c:v>
                </c:pt>
                <c:pt idx="8">
                  <c:v>1.41E-2</c:v>
                </c:pt>
                <c:pt idx="9">
                  <c:v>1.29E-2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6-49E6-B499-6E1EEE97BE1F}"/>
            </c:ext>
          </c:extLst>
        </c:ser>
        <c:ser>
          <c:idx val="1"/>
          <c:order val="1"/>
          <c:tx>
            <c:strRef>
              <c:f>工作表1!$J$1</c:f>
              <c:strCache>
                <c:ptCount val="1"/>
                <c:pt idx="0">
                  <c:v>1000-val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工作表1!$J$2:$J$14</c:f>
              <c:numCache>
                <c:formatCode>General</c:formatCode>
                <c:ptCount val="13"/>
                <c:pt idx="0">
                  <c:v>8.1699999999999995E-2</c:v>
                </c:pt>
                <c:pt idx="1">
                  <c:v>7.3800000000000004E-2</c:v>
                </c:pt>
                <c:pt idx="2">
                  <c:v>6.5600000000000006E-2</c:v>
                </c:pt>
                <c:pt idx="3">
                  <c:v>6.6199999999999995E-2</c:v>
                </c:pt>
                <c:pt idx="4">
                  <c:v>6.6100000000000006E-2</c:v>
                </c:pt>
                <c:pt idx="5">
                  <c:v>6.6799999999999998E-2</c:v>
                </c:pt>
                <c:pt idx="6">
                  <c:v>6.8900000000000003E-2</c:v>
                </c:pt>
                <c:pt idx="7">
                  <c:v>6.7100000000000007E-2</c:v>
                </c:pt>
                <c:pt idx="8">
                  <c:v>7.2400000000000006E-2</c:v>
                </c:pt>
                <c:pt idx="9">
                  <c:v>7.3099999999999998E-2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6-49E6-B499-6E1EEE97B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工作表1!$P$1</c:f>
              <c:strCache>
                <c:ptCount val="1"/>
                <c:pt idx="0">
                  <c:v>2000-train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工作表1!$P$2:$P$12</c:f>
              <c:numCache>
                <c:formatCode>General</c:formatCode>
                <c:ptCount val="11"/>
                <c:pt idx="0">
                  <c:v>0.1052</c:v>
                </c:pt>
                <c:pt idx="1">
                  <c:v>6.3200000000000006E-2</c:v>
                </c:pt>
                <c:pt idx="2">
                  <c:v>4.8800000000000003E-2</c:v>
                </c:pt>
                <c:pt idx="3">
                  <c:v>3.7699999999999997E-2</c:v>
                </c:pt>
                <c:pt idx="4">
                  <c:v>2.9399999999999999E-2</c:v>
                </c:pt>
                <c:pt idx="5">
                  <c:v>2.3800000000000002E-2</c:v>
                </c:pt>
                <c:pt idx="6">
                  <c:v>1.9099999999999999E-2</c:v>
                </c:pt>
                <c:pt idx="7">
                  <c:v>1.5900000000000001E-2</c:v>
                </c:pt>
                <c:pt idx="8">
                  <c:v>1.34E-2</c:v>
                </c:pt>
                <c:pt idx="9">
                  <c:v>1.2699999999999999E-2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2-42E1-A708-1D82E6879A21}"/>
            </c:ext>
          </c:extLst>
        </c:ser>
        <c:ser>
          <c:idx val="1"/>
          <c:order val="1"/>
          <c:tx>
            <c:strRef>
              <c:f>工作表1!$Q$1</c:f>
              <c:strCache>
                <c:ptCount val="1"/>
                <c:pt idx="0">
                  <c:v>2000-val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工作表1!$Q$2:$Q$14</c:f>
              <c:numCache>
                <c:formatCode>General</c:formatCode>
                <c:ptCount val="13"/>
                <c:pt idx="0">
                  <c:v>7.1599999999999997E-2</c:v>
                </c:pt>
                <c:pt idx="1">
                  <c:v>6.83E-2</c:v>
                </c:pt>
                <c:pt idx="2">
                  <c:v>6.5600000000000006E-2</c:v>
                </c:pt>
                <c:pt idx="3">
                  <c:v>6.6699999999999995E-2</c:v>
                </c:pt>
                <c:pt idx="4">
                  <c:v>6.6699999999999995E-2</c:v>
                </c:pt>
                <c:pt idx="5">
                  <c:v>6.9400000000000003E-2</c:v>
                </c:pt>
                <c:pt idx="6">
                  <c:v>7.3499999999999996E-2</c:v>
                </c:pt>
                <c:pt idx="7">
                  <c:v>7.8200000000000006E-2</c:v>
                </c:pt>
                <c:pt idx="8">
                  <c:v>7.9899999999999999E-2</c:v>
                </c:pt>
                <c:pt idx="9">
                  <c:v>8.0199999999999994E-2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2-42E1-A708-1D82E6879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工作表1!$W$1</c:f>
              <c:strCache>
                <c:ptCount val="1"/>
                <c:pt idx="0">
                  <c:v>5000-train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工作表1!$W$2:$W$14</c:f>
              <c:numCache>
                <c:formatCode>General</c:formatCode>
                <c:ptCount val="13"/>
                <c:pt idx="0">
                  <c:v>8.8800000000000004E-2</c:v>
                </c:pt>
                <c:pt idx="1">
                  <c:v>6.0999999999999999E-2</c:v>
                </c:pt>
                <c:pt idx="2">
                  <c:v>4.6800000000000001E-2</c:v>
                </c:pt>
                <c:pt idx="3">
                  <c:v>3.6499999999999998E-2</c:v>
                </c:pt>
                <c:pt idx="4">
                  <c:v>3.0200000000000001E-2</c:v>
                </c:pt>
                <c:pt idx="5">
                  <c:v>2.52E-2</c:v>
                </c:pt>
                <c:pt idx="6">
                  <c:v>2.3400000000000001E-2</c:v>
                </c:pt>
                <c:pt idx="7">
                  <c:v>2.0799999999999999E-2</c:v>
                </c:pt>
                <c:pt idx="8">
                  <c:v>1.9E-2</c:v>
                </c:pt>
                <c:pt idx="9">
                  <c:v>1.83E-2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6-48C8-8F58-47849CA0CD63}"/>
            </c:ext>
          </c:extLst>
        </c:ser>
        <c:ser>
          <c:idx val="1"/>
          <c:order val="1"/>
          <c:tx>
            <c:strRef>
              <c:f>工作表1!$X$1</c:f>
              <c:strCache>
                <c:ptCount val="1"/>
                <c:pt idx="0">
                  <c:v>5000-val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工作表1!$X$2:$X$14</c:f>
              <c:numCache>
                <c:formatCode>General</c:formatCode>
                <c:ptCount val="13"/>
                <c:pt idx="0">
                  <c:v>6.8199999999999997E-2</c:v>
                </c:pt>
                <c:pt idx="1">
                  <c:v>6.6900000000000001E-2</c:v>
                </c:pt>
                <c:pt idx="2">
                  <c:v>6.9500000000000006E-2</c:v>
                </c:pt>
                <c:pt idx="3">
                  <c:v>7.0800000000000002E-2</c:v>
                </c:pt>
                <c:pt idx="4">
                  <c:v>7.0000000000000007E-2</c:v>
                </c:pt>
                <c:pt idx="5">
                  <c:v>7.5499999999999998E-2</c:v>
                </c:pt>
                <c:pt idx="6">
                  <c:v>8.6300000000000002E-2</c:v>
                </c:pt>
                <c:pt idx="7">
                  <c:v>8.43E-2</c:v>
                </c:pt>
                <c:pt idx="8">
                  <c:v>9.5399999999999999E-2</c:v>
                </c:pt>
                <c:pt idx="9">
                  <c:v>8.8599999999999998E-2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6-48C8-8F58-47849CA0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工作表1!$AD$1</c:f>
              <c:strCache>
                <c:ptCount val="1"/>
                <c:pt idx="0">
                  <c:v>10000-train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工作表1!$AD$2:$AD$14</c:f>
              <c:numCache>
                <c:formatCode>General</c:formatCode>
                <c:ptCount val="13"/>
                <c:pt idx="0">
                  <c:v>8.7400000000000005E-2</c:v>
                </c:pt>
                <c:pt idx="1">
                  <c:v>6.0699999999999997E-2</c:v>
                </c:pt>
                <c:pt idx="2">
                  <c:v>4.8099999999999997E-2</c:v>
                </c:pt>
                <c:pt idx="3">
                  <c:v>4.0800000000000003E-2</c:v>
                </c:pt>
                <c:pt idx="4">
                  <c:v>3.5499999999999997E-2</c:v>
                </c:pt>
                <c:pt idx="5">
                  <c:v>3.2300000000000002E-2</c:v>
                </c:pt>
                <c:pt idx="6">
                  <c:v>2.9499999999999998E-2</c:v>
                </c:pt>
                <c:pt idx="7">
                  <c:v>2.8299999999999999E-2</c:v>
                </c:pt>
                <c:pt idx="8">
                  <c:v>2.7400000000000001E-2</c:v>
                </c:pt>
                <c:pt idx="9">
                  <c:v>2.6200000000000001E-2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4-495B-BAF2-D9411A43342A}"/>
            </c:ext>
          </c:extLst>
        </c:ser>
        <c:ser>
          <c:idx val="1"/>
          <c:order val="1"/>
          <c:tx>
            <c:strRef>
              <c:f>工作表1!$AE$1</c:f>
              <c:strCache>
                <c:ptCount val="1"/>
                <c:pt idx="0">
                  <c:v>10000-val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工作表1!$AE$2:$AE$14</c:f>
              <c:numCache>
                <c:formatCode>General</c:formatCode>
                <c:ptCount val="13"/>
                <c:pt idx="0">
                  <c:v>6.3399999999999998E-2</c:v>
                </c:pt>
                <c:pt idx="1">
                  <c:v>6.4399999999999999E-2</c:v>
                </c:pt>
                <c:pt idx="2">
                  <c:v>7.3700000000000002E-2</c:v>
                </c:pt>
                <c:pt idx="3">
                  <c:v>6.83E-2</c:v>
                </c:pt>
                <c:pt idx="4">
                  <c:v>7.9799999999999996E-2</c:v>
                </c:pt>
                <c:pt idx="5">
                  <c:v>7.8200000000000006E-2</c:v>
                </c:pt>
                <c:pt idx="6">
                  <c:v>8.1900000000000001E-2</c:v>
                </c:pt>
                <c:pt idx="7">
                  <c:v>7.9699999999999993E-2</c:v>
                </c:pt>
                <c:pt idx="8">
                  <c:v>8.1600000000000006E-2</c:v>
                </c:pt>
                <c:pt idx="9">
                  <c:v>8.5099999999999995E-2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4-495B-BAF2-D9411A433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chart" Target="../charts/chart3.xml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png"/><Relationship Id="rId10" Type="http://schemas.openxmlformats.org/officeDocument/2006/relationships/chart" Target="../charts/chart4.xml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21</xdr:row>
      <xdr:rowOff>7620</xdr:rowOff>
    </xdr:from>
    <xdr:to>
      <xdr:col>5</xdr:col>
      <xdr:colOff>502920</xdr:colOff>
      <xdr:row>34</xdr:row>
      <xdr:rowOff>30480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0E4FDEF-A58B-84DA-C167-075B1613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21</xdr:row>
      <xdr:rowOff>38100</xdr:rowOff>
    </xdr:from>
    <xdr:to>
      <xdr:col>12</xdr:col>
      <xdr:colOff>487680</xdr:colOff>
      <xdr:row>34</xdr:row>
      <xdr:rowOff>60960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D9B41AE-71A4-499A-9CE5-A8603BB02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4</xdr:col>
      <xdr:colOff>838200</xdr:colOff>
      <xdr:row>66</xdr:row>
      <xdr:rowOff>7716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107A895-911C-EC1C-9FE9-F822B014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06000"/>
          <a:ext cx="3581400" cy="26747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</xdr:col>
      <xdr:colOff>827868</xdr:colOff>
      <xdr:row>49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D3658D6-A717-D5D6-D20A-BDA05556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67500"/>
          <a:ext cx="3571068" cy="266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11</xdr:col>
      <xdr:colOff>754380</xdr:colOff>
      <xdr:row>48</xdr:row>
      <xdr:rowOff>135617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EE82D95-93AD-3CA2-93C6-E563ECA36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39640" y="6667500"/>
          <a:ext cx="3497580" cy="26121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11</xdr:col>
      <xdr:colOff>815340</xdr:colOff>
      <xdr:row>65</xdr:row>
      <xdr:rowOff>181144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1345FAEC-C9C0-1E30-8BA4-7F72593D1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39640" y="9906000"/>
          <a:ext cx="3558540" cy="2657644"/>
        </a:xfrm>
        <a:prstGeom prst="rect">
          <a:avLst/>
        </a:prstGeom>
      </xdr:spPr>
    </xdr:pic>
    <xdr:clientData/>
  </xdr:twoCellAnchor>
  <xdr:twoCellAnchor>
    <xdr:from>
      <xdr:col>14</xdr:col>
      <xdr:colOff>30480</xdr:colOff>
      <xdr:row>21</xdr:row>
      <xdr:rowOff>38100</xdr:rowOff>
    </xdr:from>
    <xdr:to>
      <xdr:col>19</xdr:col>
      <xdr:colOff>487680</xdr:colOff>
      <xdr:row>34</xdr:row>
      <xdr:rowOff>60960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D6C8B33-E867-47FD-B707-3D00F0A2B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18</xdr:col>
      <xdr:colOff>283691</xdr:colOff>
      <xdr:row>48</xdr:row>
      <xdr:rowOff>116541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3FB8D3AF-8CF3-640B-1796-05D6D7087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66729" y="6589059"/>
          <a:ext cx="3466161" cy="25639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18</xdr:col>
      <xdr:colOff>385483</xdr:colOff>
      <xdr:row>66</xdr:row>
      <xdr:rowOff>29051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E8656ED3-02CB-C4AD-D48E-3192BEDF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66729" y="9789459"/>
          <a:ext cx="3567953" cy="2664674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21</xdr:row>
      <xdr:rowOff>26894</xdr:rowOff>
    </xdr:from>
    <xdr:to>
      <xdr:col>26</xdr:col>
      <xdr:colOff>457199</xdr:colOff>
      <xdr:row>34</xdr:row>
      <xdr:rowOff>49754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FB9EEA3-9FC1-4EAF-8458-085A73932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35</xdr:row>
      <xdr:rowOff>1</xdr:rowOff>
    </xdr:from>
    <xdr:to>
      <xdr:col>27</xdr:col>
      <xdr:colOff>36871</xdr:colOff>
      <xdr:row>54</xdr:row>
      <xdr:rowOff>174173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B1E43A4F-B3F2-03C5-9840-1AFF91A4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37971" y="6858001"/>
          <a:ext cx="5022529" cy="389708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27</xdr:col>
      <xdr:colOff>54428</xdr:colOff>
      <xdr:row>75</xdr:row>
      <xdr:rowOff>41201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9D1EB8B4-7898-485B-4C55-EC06BE4B0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337971" y="10972800"/>
          <a:ext cx="5040086" cy="3764115"/>
        </a:xfrm>
        <a:prstGeom prst="rect">
          <a:avLst/>
        </a:prstGeom>
      </xdr:spPr>
    </xdr:pic>
    <xdr:clientData/>
  </xdr:twoCellAnchor>
  <xdr:twoCellAnchor>
    <xdr:from>
      <xdr:col>28</xdr:col>
      <xdr:colOff>522514</xdr:colOff>
      <xdr:row>21</xdr:row>
      <xdr:rowOff>43543</xdr:rowOff>
    </xdr:from>
    <xdr:to>
      <xdr:col>34</xdr:col>
      <xdr:colOff>195942</xdr:colOff>
      <xdr:row>34</xdr:row>
      <xdr:rowOff>66403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50ADB53A-CE57-44A4-B355-543BBB7DC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29</xdr:col>
      <xdr:colOff>0</xdr:colOff>
      <xdr:row>36</xdr:row>
      <xdr:rowOff>0</xdr:rowOff>
    </xdr:from>
    <xdr:to>
      <xdr:col>35</xdr:col>
      <xdr:colOff>144650</xdr:colOff>
      <xdr:row>55</xdr:row>
      <xdr:rowOff>43543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7D0F0DE2-4F61-BBA1-319C-8F392BD9C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738771" y="7053943"/>
          <a:ext cx="5043222" cy="3766457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57</xdr:row>
      <xdr:rowOff>0</xdr:rowOff>
    </xdr:from>
    <xdr:to>
      <xdr:col>35</xdr:col>
      <xdr:colOff>130074</xdr:colOff>
      <xdr:row>76</xdr:row>
      <xdr:rowOff>32657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1B14401C-7172-43B2-A714-820CDBFD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738771" y="11168743"/>
          <a:ext cx="5028646" cy="3755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zoomScale="70" zoomScaleNormal="70" workbookViewId="0">
      <selection activeCell="AI13" sqref="AI13"/>
    </sheetView>
  </sheetViews>
  <sheetFormatPr defaultRowHeight="15" x14ac:dyDescent="0.3"/>
  <cols>
    <col min="1" max="1" width="10.25" bestFit="1" customWidth="1"/>
    <col min="2" max="2" width="13.625" bestFit="1" customWidth="1"/>
    <col min="3" max="3" width="12.125" bestFit="1" customWidth="1"/>
    <col min="5" max="5" width="14.75" bestFit="1" customWidth="1"/>
    <col min="8" max="8" width="10.25" bestFit="1" customWidth="1"/>
    <col min="9" max="9" width="13.625" bestFit="1" customWidth="1"/>
    <col min="10" max="10" width="12.125" bestFit="1" customWidth="1"/>
    <col min="12" max="12" width="20.625" bestFit="1" customWidth="1"/>
    <col min="15" max="15" width="12.875" bestFit="1" customWidth="1"/>
    <col min="16" max="16" width="15.875" bestFit="1" customWidth="1"/>
    <col min="17" max="17" width="14.375" bestFit="1" customWidth="1"/>
    <col min="19" max="19" width="20.625" bestFit="1" customWidth="1"/>
    <col min="22" max="22" width="12.875" bestFit="1" customWidth="1"/>
    <col min="23" max="23" width="15.875" bestFit="1" customWidth="1"/>
    <col min="24" max="24" width="14.375" bestFit="1" customWidth="1"/>
    <col min="26" max="26" width="20.625" bestFit="1" customWidth="1"/>
    <col min="29" max="29" width="14.25" bestFit="1" customWidth="1"/>
    <col min="30" max="30" width="17.125" bestFit="1" customWidth="1"/>
    <col min="31" max="31" width="15.75" bestFit="1" customWidth="1"/>
    <col min="33" max="33" width="20.625" bestFit="1" customWidth="1"/>
  </cols>
  <sheetData>
    <row r="1" spans="1:34" x14ac:dyDescent="0.3">
      <c r="A1" t="s">
        <v>0</v>
      </c>
      <c r="B1" t="s">
        <v>1</v>
      </c>
      <c r="C1" t="s">
        <v>2</v>
      </c>
      <c r="E1" t="s">
        <v>3</v>
      </c>
      <c r="F1">
        <v>0.80269999999999997</v>
      </c>
      <c r="H1" t="s">
        <v>6</v>
      </c>
      <c r="I1" t="s">
        <v>7</v>
      </c>
      <c r="J1" t="s">
        <v>8</v>
      </c>
      <c r="L1" t="s">
        <v>3</v>
      </c>
      <c r="M1">
        <v>0.82989999999999997</v>
      </c>
      <c r="O1" t="s">
        <v>24</v>
      </c>
      <c r="P1" t="s">
        <v>25</v>
      </c>
      <c r="Q1" t="s">
        <v>26</v>
      </c>
      <c r="S1" t="s">
        <v>3</v>
      </c>
      <c r="T1">
        <v>0.81940000000000002</v>
      </c>
      <c r="V1" t="s">
        <v>27</v>
      </c>
      <c r="W1" t="s">
        <v>28</v>
      </c>
      <c r="X1" t="s">
        <v>29</v>
      </c>
      <c r="Z1" t="s">
        <v>3</v>
      </c>
      <c r="AA1">
        <v>0.81689999999999996</v>
      </c>
      <c r="AC1" t="s">
        <v>30</v>
      </c>
      <c r="AD1" t="s">
        <v>31</v>
      </c>
      <c r="AE1" t="s">
        <v>32</v>
      </c>
      <c r="AG1" t="s">
        <v>3</v>
      </c>
      <c r="AH1">
        <v>0.84360000000000002</v>
      </c>
    </row>
    <row r="2" spans="1:34" x14ac:dyDescent="0.3">
      <c r="A2">
        <v>1</v>
      </c>
      <c r="B2">
        <v>0.155</v>
      </c>
      <c r="C2">
        <v>0.1336</v>
      </c>
      <c r="E2" t="s">
        <v>10</v>
      </c>
      <c r="F2">
        <v>0.87060000000000004</v>
      </c>
      <c r="H2">
        <v>1</v>
      </c>
      <c r="I2">
        <v>0.11550000000000001</v>
      </c>
      <c r="J2">
        <v>8.1699999999999995E-2</v>
      </c>
      <c r="L2" t="s">
        <v>10</v>
      </c>
      <c r="M2" s="1">
        <v>0.68779999999999997</v>
      </c>
      <c r="O2">
        <v>1</v>
      </c>
      <c r="P2">
        <v>0.1052</v>
      </c>
      <c r="Q2" s="1">
        <v>7.1599999999999997E-2</v>
      </c>
      <c r="S2" t="s">
        <v>10</v>
      </c>
      <c r="T2" s="1">
        <v>0.7137</v>
      </c>
      <c r="V2">
        <v>1</v>
      </c>
      <c r="W2">
        <v>8.8800000000000004E-2</v>
      </c>
      <c r="X2" s="1">
        <v>6.8199999999999997E-2</v>
      </c>
      <c r="Z2" t="s">
        <v>10</v>
      </c>
      <c r="AA2" s="1">
        <v>0.69099999999999995</v>
      </c>
      <c r="AC2">
        <v>1</v>
      </c>
      <c r="AD2">
        <v>8.7400000000000005E-2</v>
      </c>
      <c r="AE2" s="1">
        <v>6.3399999999999998E-2</v>
      </c>
      <c r="AG2" t="s">
        <v>10</v>
      </c>
      <c r="AH2" s="1">
        <v>0.70940000000000003</v>
      </c>
    </row>
    <row r="3" spans="1:34" x14ac:dyDescent="0.3">
      <c r="A3">
        <v>2</v>
      </c>
      <c r="B3">
        <v>9.2600000000000002E-2</v>
      </c>
      <c r="C3">
        <v>8.0699999999999994E-2</v>
      </c>
      <c r="E3" t="s">
        <v>11</v>
      </c>
      <c r="F3">
        <v>0.48180000000000001</v>
      </c>
      <c r="H3">
        <v>2</v>
      </c>
      <c r="I3">
        <v>6.7000000000000004E-2</v>
      </c>
      <c r="J3">
        <v>7.3800000000000004E-2</v>
      </c>
      <c r="L3" t="s">
        <v>11</v>
      </c>
      <c r="M3" s="1">
        <v>0.66490000000000005</v>
      </c>
      <c r="O3">
        <v>2</v>
      </c>
      <c r="P3">
        <v>6.3200000000000006E-2</v>
      </c>
      <c r="Q3" s="1">
        <v>6.83E-2</v>
      </c>
      <c r="S3" t="s">
        <v>11</v>
      </c>
      <c r="T3" s="1">
        <v>0.68230000000000002</v>
      </c>
      <c r="V3">
        <v>2</v>
      </c>
      <c r="W3">
        <v>6.0999999999999999E-2</v>
      </c>
      <c r="X3" s="1">
        <v>6.6900000000000001E-2</v>
      </c>
      <c r="Z3" t="s">
        <v>11</v>
      </c>
      <c r="AA3" s="1">
        <v>0.73919999999999997</v>
      </c>
      <c r="AC3">
        <v>2</v>
      </c>
      <c r="AD3">
        <v>6.0699999999999997E-2</v>
      </c>
      <c r="AE3" s="1">
        <v>6.4399999999999999E-2</v>
      </c>
      <c r="AG3" t="s">
        <v>11</v>
      </c>
      <c r="AH3" s="1">
        <v>0.67720000000000002</v>
      </c>
    </row>
    <row r="4" spans="1:34" x14ac:dyDescent="0.3">
      <c r="A4">
        <v>3</v>
      </c>
      <c r="B4">
        <v>6.2899999999999998E-2</v>
      </c>
      <c r="C4">
        <v>6.6600000000000006E-2</v>
      </c>
      <c r="E4" t="s">
        <v>12</v>
      </c>
      <c r="F4">
        <v>0.66669999999999996</v>
      </c>
      <c r="H4">
        <v>3</v>
      </c>
      <c r="I4">
        <v>5.0799999999999998E-2</v>
      </c>
      <c r="J4">
        <v>6.5600000000000006E-2</v>
      </c>
      <c r="L4" t="s">
        <v>12</v>
      </c>
      <c r="M4" s="1">
        <v>0.81269999999999998</v>
      </c>
      <c r="O4">
        <v>3</v>
      </c>
      <c r="P4">
        <v>4.8800000000000003E-2</v>
      </c>
      <c r="Q4" s="1">
        <v>6.5600000000000006E-2</v>
      </c>
      <c r="S4" t="s">
        <v>12</v>
      </c>
      <c r="T4" s="1">
        <v>0.62460000000000004</v>
      </c>
      <c r="V4">
        <v>3</v>
      </c>
      <c r="W4">
        <v>4.6800000000000001E-2</v>
      </c>
      <c r="X4" s="1">
        <v>6.9500000000000006E-2</v>
      </c>
      <c r="Z4" t="s">
        <v>12</v>
      </c>
      <c r="AA4" s="1">
        <v>0.68540000000000001</v>
      </c>
      <c r="AC4">
        <v>3</v>
      </c>
      <c r="AD4">
        <v>4.8099999999999997E-2</v>
      </c>
      <c r="AE4" s="1">
        <v>7.3700000000000002E-2</v>
      </c>
      <c r="AG4" t="s">
        <v>12</v>
      </c>
      <c r="AH4" s="1">
        <v>0.71550000000000002</v>
      </c>
    </row>
    <row r="5" spans="1:34" x14ac:dyDescent="0.3">
      <c r="A5">
        <v>4</v>
      </c>
      <c r="B5">
        <v>5.0999999999999997E-2</v>
      </c>
      <c r="C5">
        <v>6.0600000000000001E-2</v>
      </c>
      <c r="E5" t="s">
        <v>13</v>
      </c>
      <c r="F5">
        <v>0.56000000000000005</v>
      </c>
      <c r="H5">
        <v>4</v>
      </c>
      <c r="I5">
        <v>4.1500000000000002E-2</v>
      </c>
      <c r="J5">
        <v>6.6199999999999995E-2</v>
      </c>
      <c r="L5" t="s">
        <v>13</v>
      </c>
      <c r="M5" s="1">
        <v>0.8095</v>
      </c>
      <c r="O5">
        <v>4</v>
      </c>
      <c r="P5">
        <v>3.7699999999999997E-2</v>
      </c>
      <c r="Q5" s="1">
        <v>6.6699999999999995E-2</v>
      </c>
      <c r="S5" t="s">
        <v>13</v>
      </c>
      <c r="T5" s="1">
        <v>0.62660000000000005</v>
      </c>
      <c r="V5">
        <v>4</v>
      </c>
      <c r="W5">
        <v>3.6499999999999998E-2</v>
      </c>
      <c r="X5" s="1">
        <v>7.0800000000000002E-2</v>
      </c>
      <c r="Z5" t="s">
        <v>13</v>
      </c>
      <c r="AA5" s="1">
        <v>0.70589999999999997</v>
      </c>
      <c r="AC5">
        <v>4</v>
      </c>
      <c r="AD5">
        <v>4.0800000000000003E-2</v>
      </c>
      <c r="AE5" s="1">
        <v>6.83E-2</v>
      </c>
      <c r="AG5" t="s">
        <v>13</v>
      </c>
      <c r="AH5" s="1">
        <v>0.80789999999999995</v>
      </c>
    </row>
    <row r="6" spans="1:34" x14ac:dyDescent="0.3">
      <c r="A6">
        <v>5</v>
      </c>
      <c r="B6">
        <v>4.1200000000000001E-2</v>
      </c>
      <c r="C6">
        <v>5.8400000000000001E-2</v>
      </c>
      <c r="E6" t="s">
        <v>14</v>
      </c>
      <c r="F6">
        <v>0.82740000000000002</v>
      </c>
      <c r="H6">
        <v>5</v>
      </c>
      <c r="I6">
        <v>3.2199999999999999E-2</v>
      </c>
      <c r="J6">
        <v>6.6100000000000006E-2</v>
      </c>
      <c r="L6" t="s">
        <v>14</v>
      </c>
      <c r="M6" s="1">
        <v>0.72960000000000003</v>
      </c>
      <c r="O6">
        <v>5</v>
      </c>
      <c r="P6">
        <v>2.9399999999999999E-2</v>
      </c>
      <c r="Q6" s="1">
        <v>6.6699999999999995E-2</v>
      </c>
      <c r="S6" t="s">
        <v>14</v>
      </c>
      <c r="T6" s="1">
        <v>0.7399</v>
      </c>
      <c r="V6">
        <v>5</v>
      </c>
      <c r="W6">
        <v>3.0200000000000001E-2</v>
      </c>
      <c r="X6" s="1">
        <v>7.0000000000000007E-2</v>
      </c>
      <c r="Z6" t="s">
        <v>14</v>
      </c>
      <c r="AA6" s="1">
        <v>0.78859999999999997</v>
      </c>
      <c r="AC6">
        <v>5</v>
      </c>
      <c r="AD6">
        <v>3.5499999999999997E-2</v>
      </c>
      <c r="AE6" s="1">
        <v>7.9799999999999996E-2</v>
      </c>
      <c r="AG6" t="s">
        <v>14</v>
      </c>
      <c r="AH6" s="1">
        <v>0.8296</v>
      </c>
    </row>
    <row r="7" spans="1:34" x14ac:dyDescent="0.3">
      <c r="A7">
        <v>6</v>
      </c>
      <c r="B7">
        <v>3.1899999999999998E-2</v>
      </c>
      <c r="C7">
        <v>5.5599999999999997E-2</v>
      </c>
      <c r="E7" t="s">
        <v>15</v>
      </c>
      <c r="F7">
        <v>0.33160000000000001</v>
      </c>
      <c r="H7">
        <v>6</v>
      </c>
      <c r="I7">
        <v>2.5399999999999999E-2</v>
      </c>
      <c r="J7">
        <v>6.6799999999999998E-2</v>
      </c>
      <c r="L7" t="s">
        <v>15</v>
      </c>
      <c r="M7" s="1">
        <v>0.44840000000000002</v>
      </c>
      <c r="O7">
        <v>6</v>
      </c>
      <c r="P7">
        <v>2.3800000000000002E-2</v>
      </c>
      <c r="Q7" s="1">
        <v>6.9400000000000003E-2</v>
      </c>
      <c r="S7" t="s">
        <v>15</v>
      </c>
      <c r="T7" s="1">
        <v>0.74729999999999996</v>
      </c>
      <c r="V7">
        <v>6</v>
      </c>
      <c r="W7">
        <v>2.52E-2</v>
      </c>
      <c r="X7" s="1">
        <v>7.5499999999999998E-2</v>
      </c>
      <c r="Z7" t="s">
        <v>15</v>
      </c>
      <c r="AA7" s="1">
        <v>0.77929999999999999</v>
      </c>
      <c r="AC7">
        <v>6</v>
      </c>
      <c r="AD7">
        <v>3.2300000000000002E-2</v>
      </c>
      <c r="AE7" s="1">
        <v>7.8200000000000006E-2</v>
      </c>
      <c r="AG7" t="s">
        <v>15</v>
      </c>
      <c r="AH7" s="1">
        <v>0.79349999999999998</v>
      </c>
    </row>
    <row r="8" spans="1:34" x14ac:dyDescent="0.3">
      <c r="A8">
        <v>7</v>
      </c>
      <c r="B8">
        <v>2.7199999999999998E-2</v>
      </c>
      <c r="C8">
        <v>5.3600000000000002E-2</v>
      </c>
      <c r="E8" t="s">
        <v>16</v>
      </c>
      <c r="F8">
        <v>0.80100000000000005</v>
      </c>
      <c r="H8">
        <v>7</v>
      </c>
      <c r="I8">
        <v>2.1899999999999999E-2</v>
      </c>
      <c r="J8">
        <v>6.8900000000000003E-2</v>
      </c>
      <c r="L8" t="s">
        <v>16</v>
      </c>
      <c r="M8" s="1">
        <v>0.93689999999999996</v>
      </c>
      <c r="O8">
        <v>7</v>
      </c>
      <c r="P8">
        <v>1.9099999999999999E-2</v>
      </c>
      <c r="Q8" s="1">
        <v>7.3499999999999996E-2</v>
      </c>
      <c r="S8" t="s">
        <v>16</v>
      </c>
      <c r="T8" s="1">
        <v>0.81310000000000004</v>
      </c>
      <c r="V8">
        <v>7</v>
      </c>
      <c r="W8">
        <v>2.3400000000000001E-2</v>
      </c>
      <c r="X8" s="1">
        <v>8.6300000000000002E-2</v>
      </c>
      <c r="Z8" t="s">
        <v>16</v>
      </c>
      <c r="AA8" s="1">
        <v>0.7359</v>
      </c>
      <c r="AC8">
        <v>7</v>
      </c>
      <c r="AD8">
        <v>2.9499999999999998E-2</v>
      </c>
      <c r="AE8" s="1">
        <v>8.1900000000000001E-2</v>
      </c>
      <c r="AG8" t="s">
        <v>16</v>
      </c>
      <c r="AH8" s="1">
        <v>0.65380000000000005</v>
      </c>
    </row>
    <row r="9" spans="1:34" x14ac:dyDescent="0.3">
      <c r="A9">
        <v>8</v>
      </c>
      <c r="B9">
        <v>2.3599999999999999E-2</v>
      </c>
      <c r="C9">
        <v>5.3199999999999997E-2</v>
      </c>
      <c r="E9" t="s">
        <v>17</v>
      </c>
      <c r="F9" t="s">
        <v>9</v>
      </c>
      <c r="H9">
        <v>8</v>
      </c>
      <c r="I9">
        <v>1.77E-2</v>
      </c>
      <c r="J9">
        <v>6.7100000000000007E-2</v>
      </c>
      <c r="L9" t="s">
        <v>17</v>
      </c>
      <c r="M9" t="s">
        <v>23</v>
      </c>
      <c r="O9">
        <v>8</v>
      </c>
      <c r="P9">
        <v>1.5900000000000001E-2</v>
      </c>
      <c r="Q9" s="1">
        <v>7.8200000000000006E-2</v>
      </c>
      <c r="S9" t="s">
        <v>17</v>
      </c>
      <c r="T9" t="s">
        <v>23</v>
      </c>
      <c r="V9">
        <v>8</v>
      </c>
      <c r="W9">
        <v>2.0799999999999999E-2</v>
      </c>
      <c r="X9" s="1">
        <v>8.43E-2</v>
      </c>
      <c r="Z9" t="s">
        <v>17</v>
      </c>
      <c r="AA9" s="1">
        <v>0.45950000000000002</v>
      </c>
      <c r="AC9">
        <v>8</v>
      </c>
      <c r="AD9">
        <v>2.8299999999999999E-2</v>
      </c>
      <c r="AE9" s="1">
        <v>7.9699999999999993E-2</v>
      </c>
      <c r="AG9" t="s">
        <v>17</v>
      </c>
      <c r="AH9" s="1">
        <v>0.29609999999999997</v>
      </c>
    </row>
    <row r="10" spans="1:34" x14ac:dyDescent="0.3">
      <c r="A10">
        <v>9</v>
      </c>
      <c r="B10">
        <v>1.9199999999999998E-2</v>
      </c>
      <c r="C10">
        <v>5.5E-2</v>
      </c>
      <c r="E10" t="s">
        <v>5</v>
      </c>
      <c r="F10">
        <v>0.56430000000000002</v>
      </c>
      <c r="H10">
        <v>9</v>
      </c>
      <c r="I10">
        <v>1.41E-2</v>
      </c>
      <c r="J10">
        <v>7.2400000000000006E-2</v>
      </c>
      <c r="L10" t="s">
        <v>5</v>
      </c>
      <c r="M10" s="1">
        <v>0.70940000000000003</v>
      </c>
      <c r="O10">
        <v>9</v>
      </c>
      <c r="P10">
        <v>1.34E-2</v>
      </c>
      <c r="Q10" s="1">
        <v>7.9899999999999999E-2</v>
      </c>
      <c r="S10" t="s">
        <v>5</v>
      </c>
      <c r="T10" s="1">
        <v>0.64449999999999996</v>
      </c>
      <c r="V10">
        <v>9</v>
      </c>
      <c r="W10">
        <v>1.9E-2</v>
      </c>
      <c r="X10" s="1">
        <v>9.5399999999999999E-2</v>
      </c>
      <c r="Z10" t="s">
        <v>5</v>
      </c>
      <c r="AA10" s="1">
        <v>0.63759999999999994</v>
      </c>
      <c r="AC10">
        <v>9</v>
      </c>
      <c r="AD10">
        <v>2.7400000000000001E-2</v>
      </c>
      <c r="AE10" s="1">
        <v>8.1600000000000006E-2</v>
      </c>
      <c r="AG10" t="s">
        <v>5</v>
      </c>
      <c r="AH10" s="1">
        <v>0.66769999999999996</v>
      </c>
    </row>
    <row r="11" spans="1:34" x14ac:dyDescent="0.3">
      <c r="A11">
        <v>10</v>
      </c>
      <c r="B11">
        <v>1.7000000000000001E-2</v>
      </c>
      <c r="C11">
        <v>5.2400000000000002E-2</v>
      </c>
      <c r="E11" t="s">
        <v>18</v>
      </c>
      <c r="F11">
        <v>0.47870000000000001</v>
      </c>
      <c r="H11">
        <v>10</v>
      </c>
      <c r="I11">
        <v>1.29E-2</v>
      </c>
      <c r="J11">
        <v>7.3099999999999998E-2</v>
      </c>
      <c r="L11" t="s">
        <v>18</v>
      </c>
      <c r="M11" s="1">
        <v>0.49840000000000001</v>
      </c>
      <c r="O11">
        <v>10</v>
      </c>
      <c r="P11">
        <v>1.2699999999999999E-2</v>
      </c>
      <c r="Q11" s="1">
        <v>8.0199999999999994E-2</v>
      </c>
      <c r="S11" t="s">
        <v>18</v>
      </c>
      <c r="T11" s="1">
        <v>0.47420000000000001</v>
      </c>
      <c r="V11">
        <v>10</v>
      </c>
      <c r="W11">
        <v>1.83E-2</v>
      </c>
      <c r="X11" s="1">
        <v>8.8599999999999998E-2</v>
      </c>
      <c r="Z11" t="s">
        <v>18</v>
      </c>
      <c r="AA11" s="1">
        <v>0.61209999999999998</v>
      </c>
      <c r="AC11">
        <v>10</v>
      </c>
      <c r="AD11">
        <v>2.6200000000000001E-2</v>
      </c>
      <c r="AE11" s="1">
        <v>8.5099999999999995E-2</v>
      </c>
      <c r="AG11" t="s">
        <v>18</v>
      </c>
      <c r="AH11" s="1">
        <v>0.65469999999999995</v>
      </c>
    </row>
    <row r="12" spans="1:34" x14ac:dyDescent="0.3">
      <c r="A12">
        <v>11</v>
      </c>
      <c r="B12">
        <v>1.4800000000000001E-2</v>
      </c>
      <c r="C12">
        <v>5.33E-2</v>
      </c>
      <c r="E12" t="s">
        <v>19</v>
      </c>
      <c r="F12">
        <v>0.64500000000000002</v>
      </c>
      <c r="H12">
        <v>11</v>
      </c>
      <c r="L12" t="s">
        <v>19</v>
      </c>
      <c r="M12" s="1">
        <v>0.6986</v>
      </c>
      <c r="O12">
        <v>11</v>
      </c>
      <c r="S12" t="s">
        <v>19</v>
      </c>
      <c r="T12" s="1">
        <v>0.71689999999999998</v>
      </c>
      <c r="V12">
        <v>11</v>
      </c>
      <c r="X12" s="1"/>
      <c r="Z12" t="s">
        <v>19</v>
      </c>
      <c r="AA12" s="1">
        <v>0.73119999999999996</v>
      </c>
      <c r="AC12">
        <v>11</v>
      </c>
      <c r="AE12" s="1"/>
      <c r="AG12" t="s">
        <v>19</v>
      </c>
      <c r="AH12" s="1">
        <v>0.76190000000000002</v>
      </c>
    </row>
    <row r="13" spans="1:34" x14ac:dyDescent="0.3">
      <c r="A13">
        <v>12</v>
      </c>
      <c r="B13">
        <v>1.3299999999999999E-2</v>
      </c>
      <c r="C13">
        <v>5.1499999999999997E-2</v>
      </c>
      <c r="E13" t="s">
        <v>20</v>
      </c>
      <c r="F13">
        <v>0.5474</v>
      </c>
      <c r="H13">
        <v>12</v>
      </c>
      <c r="L13" t="s">
        <v>20</v>
      </c>
      <c r="M13" s="1">
        <v>0.62809999999999999</v>
      </c>
      <c r="O13">
        <v>12</v>
      </c>
      <c r="S13" t="s">
        <v>20</v>
      </c>
      <c r="T13" s="1">
        <v>0.62090000000000001</v>
      </c>
      <c r="V13">
        <v>12</v>
      </c>
      <c r="X13" s="1"/>
      <c r="Z13" t="s">
        <v>20</v>
      </c>
      <c r="AA13" s="1">
        <v>0.5645</v>
      </c>
      <c r="AC13">
        <v>12</v>
      </c>
      <c r="AE13" s="1"/>
      <c r="AG13" t="s">
        <v>20</v>
      </c>
      <c r="AH13" s="1">
        <v>0.6008</v>
      </c>
    </row>
    <row r="14" spans="1:34" x14ac:dyDescent="0.3">
      <c r="A14">
        <v>13</v>
      </c>
      <c r="B14">
        <v>1.03E-2</v>
      </c>
      <c r="C14">
        <v>5.45E-2</v>
      </c>
      <c r="E14" t="s">
        <v>21</v>
      </c>
      <c r="F14" t="s">
        <v>9</v>
      </c>
      <c r="H14">
        <v>13</v>
      </c>
      <c r="L14" t="s">
        <v>21</v>
      </c>
      <c r="M14" s="1">
        <v>0.95479999999999998</v>
      </c>
      <c r="O14">
        <v>13</v>
      </c>
      <c r="S14" t="s">
        <v>21</v>
      </c>
      <c r="T14" s="1">
        <v>0.62270000000000003</v>
      </c>
      <c r="V14">
        <v>13</v>
      </c>
      <c r="X14" s="1"/>
      <c r="Z14" t="s">
        <v>21</v>
      </c>
      <c r="AA14" s="1">
        <v>0.72709999999999997</v>
      </c>
      <c r="AC14">
        <v>13</v>
      </c>
      <c r="AE14" s="1"/>
      <c r="AG14" t="s">
        <v>21</v>
      </c>
      <c r="AH14" s="1">
        <v>0.7994</v>
      </c>
    </row>
    <row r="15" spans="1:34" x14ac:dyDescent="0.3">
      <c r="A15">
        <v>14</v>
      </c>
      <c r="B15">
        <v>9.7999999999999997E-3</v>
      </c>
      <c r="C15">
        <v>5.3900000000000003E-2</v>
      </c>
      <c r="E15" t="s">
        <v>4</v>
      </c>
      <c r="F15">
        <v>0.54300000000000004</v>
      </c>
      <c r="H15">
        <v>14</v>
      </c>
      <c r="L15" t="s">
        <v>4</v>
      </c>
      <c r="M15" s="1">
        <v>0.74150000000000005</v>
      </c>
      <c r="O15">
        <v>14</v>
      </c>
      <c r="S15" t="s">
        <v>4</v>
      </c>
      <c r="T15" s="1">
        <v>0.65559999999999996</v>
      </c>
      <c r="V15">
        <v>14</v>
      </c>
      <c r="X15" s="1"/>
      <c r="Z15" t="s">
        <v>4</v>
      </c>
      <c r="AA15" s="1">
        <v>0.69469999999999998</v>
      </c>
      <c r="AC15">
        <v>14</v>
      </c>
      <c r="AE15" s="1"/>
      <c r="AG15" t="s">
        <v>4</v>
      </c>
      <c r="AH15" s="1">
        <v>0.621</v>
      </c>
    </row>
    <row r="16" spans="1:34" x14ac:dyDescent="0.3">
      <c r="A16">
        <v>15</v>
      </c>
      <c r="B16">
        <v>8.9999999999999993E-3</v>
      </c>
      <c r="C16">
        <v>5.45E-2</v>
      </c>
      <c r="E16" t="s">
        <v>22</v>
      </c>
      <c r="F16">
        <v>0.62239999999999995</v>
      </c>
      <c r="H16">
        <v>15</v>
      </c>
      <c r="L16" t="s">
        <v>22</v>
      </c>
      <c r="M16" s="1">
        <v>0.75490000000000002</v>
      </c>
      <c r="O16">
        <v>15</v>
      </c>
      <c r="S16" t="s">
        <v>22</v>
      </c>
      <c r="T16" s="1">
        <v>0.66379999999999995</v>
      </c>
      <c r="V16">
        <v>15</v>
      </c>
      <c r="X16" s="1"/>
      <c r="Z16" t="s">
        <v>22</v>
      </c>
      <c r="AA16" s="1">
        <v>0.57299999999999995</v>
      </c>
      <c r="AC16">
        <v>15</v>
      </c>
      <c r="AE16" s="1"/>
      <c r="AG16" t="s">
        <v>22</v>
      </c>
      <c r="AH16" s="1">
        <v>0.78590000000000004</v>
      </c>
    </row>
    <row r="17" spans="1:31" x14ac:dyDescent="0.3">
      <c r="A17">
        <v>16</v>
      </c>
      <c r="B17">
        <v>7.3000000000000001E-3</v>
      </c>
      <c r="C17">
        <v>5.6800000000000003E-2</v>
      </c>
      <c r="H17">
        <v>16</v>
      </c>
      <c r="O17">
        <v>16</v>
      </c>
      <c r="V17">
        <v>16</v>
      </c>
      <c r="X17" s="1"/>
      <c r="AA17" t="str">
        <f t="shared" ref="AA17:AA21" si="0">RIGHT(Y17,6)</f>
        <v/>
      </c>
      <c r="AC17">
        <v>16</v>
      </c>
      <c r="AE17" s="1"/>
    </row>
    <row r="18" spans="1:31" x14ac:dyDescent="0.3">
      <c r="A18">
        <v>17</v>
      </c>
      <c r="B18">
        <v>6.8999999999999999E-3</v>
      </c>
      <c r="C18">
        <v>5.7700000000000001E-2</v>
      </c>
      <c r="H18">
        <v>17</v>
      </c>
      <c r="O18">
        <v>17</v>
      </c>
      <c r="V18">
        <v>17</v>
      </c>
      <c r="X18" s="1"/>
      <c r="AA18" t="str">
        <f t="shared" si="0"/>
        <v/>
      </c>
      <c r="AC18">
        <v>17</v>
      </c>
      <c r="AE18" s="1"/>
    </row>
    <row r="19" spans="1:31" x14ac:dyDescent="0.3">
      <c r="A19">
        <v>18</v>
      </c>
      <c r="H19">
        <v>18</v>
      </c>
      <c r="O19">
        <v>18</v>
      </c>
      <c r="V19">
        <v>18</v>
      </c>
      <c r="X19" s="1"/>
      <c r="AA19" t="str">
        <f t="shared" si="0"/>
        <v/>
      </c>
      <c r="AC19">
        <v>18</v>
      </c>
      <c r="AE19" s="1"/>
    </row>
    <row r="20" spans="1:31" x14ac:dyDescent="0.3">
      <c r="A20">
        <v>19</v>
      </c>
      <c r="H20">
        <v>19</v>
      </c>
      <c r="O20">
        <v>19</v>
      </c>
      <c r="V20">
        <v>19</v>
      </c>
      <c r="X20" s="1"/>
      <c r="AA20" t="str">
        <f t="shared" si="0"/>
        <v/>
      </c>
      <c r="AC20">
        <v>19</v>
      </c>
      <c r="AE20" s="1"/>
    </row>
    <row r="21" spans="1:31" x14ac:dyDescent="0.3">
      <c r="A21">
        <v>20</v>
      </c>
      <c r="H21">
        <v>20</v>
      </c>
      <c r="O21">
        <v>20</v>
      </c>
      <c r="V21">
        <v>20</v>
      </c>
      <c r="X21" s="1"/>
      <c r="AA21" t="str">
        <f t="shared" si="0"/>
        <v/>
      </c>
      <c r="AC21">
        <v>20</v>
      </c>
      <c r="AE2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usnake</dc:creator>
  <cp:lastModifiedBy>維駿 洪</cp:lastModifiedBy>
  <dcterms:created xsi:type="dcterms:W3CDTF">2015-06-05T18:19:34Z</dcterms:created>
  <dcterms:modified xsi:type="dcterms:W3CDTF">2026-05-31T17:11:22Z</dcterms:modified>
</cp:coreProperties>
</file>